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ook\Documents\"/>
    </mc:Choice>
  </mc:AlternateContent>
  <bookViews>
    <workbookView xWindow="-120" yWindow="-120" windowWidth="20730" windowHeight="11160"/>
  </bookViews>
  <sheets>
    <sheet name="FACTURE" sheetId="1" r:id="rId1"/>
    <sheet name="CLIENT" sheetId="2" r:id="rId2"/>
    <sheet name="STOCK" sheetId="3" r:id="rId3"/>
    <sheet name="TVA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9" i="1"/>
  <c r="C21" i="1"/>
  <c r="C23" i="1"/>
  <c r="C24" i="1"/>
  <c r="E14" i="1"/>
  <c r="E15" i="1"/>
  <c r="E16" i="1"/>
  <c r="E17" i="1"/>
  <c r="E18" i="1"/>
  <c r="E19" i="1"/>
  <c r="E20" i="1"/>
  <c r="E21" i="1"/>
  <c r="E22" i="1"/>
  <c r="E23" i="1"/>
  <c r="E24" i="1"/>
  <c r="E13" i="1"/>
  <c r="D14" i="1"/>
  <c r="I14" i="1" s="1"/>
  <c r="D15" i="1"/>
  <c r="D16" i="1"/>
  <c r="I16" i="1" s="1"/>
  <c r="D17" i="1"/>
  <c r="D18" i="1"/>
  <c r="I18" i="1" s="1"/>
  <c r="D19" i="1"/>
  <c r="D20" i="1"/>
  <c r="I20" i="1" s="1"/>
  <c r="D21" i="1"/>
  <c r="D22" i="1"/>
  <c r="I22" i="1" s="1"/>
  <c r="D23" i="1"/>
  <c r="D24" i="1"/>
  <c r="D13" i="1"/>
  <c r="I13" i="1" s="1"/>
  <c r="B14" i="1"/>
  <c r="B15" i="1"/>
  <c r="B16" i="1"/>
  <c r="B17" i="1"/>
  <c r="B18" i="1"/>
  <c r="B19" i="1"/>
  <c r="B20" i="1"/>
  <c r="B21" i="1"/>
  <c r="B22" i="1"/>
  <c r="B23" i="1"/>
  <c r="B24" i="1"/>
  <c r="B13" i="1"/>
  <c r="I17" i="1"/>
  <c r="I19" i="1"/>
  <c r="I23" i="1"/>
  <c r="F24" i="1" l="1"/>
  <c r="F20" i="1"/>
  <c r="F16" i="1"/>
  <c r="G16" i="1" s="1"/>
  <c r="F23" i="1"/>
  <c r="G23" i="1" s="1"/>
  <c r="F19" i="1"/>
  <c r="F15" i="1"/>
  <c r="F22" i="1"/>
  <c r="F18" i="1"/>
  <c r="G18" i="1" s="1"/>
  <c r="F14" i="1"/>
  <c r="F13" i="1"/>
  <c r="F21" i="1"/>
  <c r="G21" i="1" s="1"/>
  <c r="F17" i="1"/>
  <c r="G17" i="1" s="1"/>
  <c r="I21" i="1"/>
  <c r="I15" i="1"/>
  <c r="G22" i="1"/>
  <c r="J21" i="1"/>
  <c r="J24" i="1"/>
  <c r="I24" i="1"/>
  <c r="G25" i="1" s="1"/>
  <c r="J18" i="1"/>
  <c r="J23" i="1"/>
  <c r="G19" i="1"/>
  <c r="J15" i="1"/>
  <c r="G24" i="1"/>
  <c r="J20" i="1"/>
  <c r="J17" i="1"/>
  <c r="G14" i="1"/>
  <c r="J14" i="1"/>
  <c r="J13" i="1"/>
  <c r="G13" i="1"/>
  <c r="J22" i="1"/>
  <c r="G20" i="1"/>
  <c r="J19" i="1"/>
  <c r="J16" i="1"/>
  <c r="G15" i="1"/>
  <c r="A3" i="2"/>
  <c r="A4" i="2"/>
  <c r="A5" i="2"/>
  <c r="A2" i="2"/>
  <c r="E6" i="1" l="1"/>
  <c r="E4" i="1"/>
  <c r="E5" i="1"/>
  <c r="G26" i="1"/>
  <c r="G28" i="1"/>
</calcChain>
</file>

<file path=xl/sharedStrings.xml><?xml version="1.0" encoding="utf-8"?>
<sst xmlns="http://schemas.openxmlformats.org/spreadsheetml/2006/main" count="66" uniqueCount="51">
  <si>
    <t>N° de la facture</t>
  </si>
  <si>
    <t>ref</t>
  </si>
  <si>
    <t>désignation</t>
  </si>
  <si>
    <t>qte</t>
  </si>
  <si>
    <t>prix heur taxe</t>
  </si>
  <si>
    <t>TVA</t>
  </si>
  <si>
    <t>total TTC</t>
  </si>
  <si>
    <t>PORT</t>
  </si>
  <si>
    <t>TOTAL TTC</t>
  </si>
  <si>
    <t>TOTAL  HT</t>
  </si>
  <si>
    <t>NOM</t>
  </si>
  <si>
    <t>PRENOM</t>
  </si>
  <si>
    <t>ADRESSE</t>
  </si>
  <si>
    <t>CODE POSTALL</t>
  </si>
  <si>
    <t>N° DE TELEPHONE</t>
  </si>
  <si>
    <t>BRADA</t>
  </si>
  <si>
    <t>AHMAD</t>
  </si>
  <si>
    <t>06 10 10 10 10</t>
  </si>
  <si>
    <t>SFRIWI</t>
  </si>
  <si>
    <t>SANAE</t>
  </si>
  <si>
    <t>12,RUE…</t>
  </si>
  <si>
    <t xml:space="preserve"> 13,RUE….</t>
  </si>
  <si>
    <t>06 20 20 20 20</t>
  </si>
  <si>
    <t>NAJMI</t>
  </si>
  <si>
    <t>KARIM</t>
  </si>
  <si>
    <t>10,RUE….</t>
  </si>
  <si>
    <t>06 30 30 30 30</t>
  </si>
  <si>
    <t>MALKI</t>
  </si>
  <si>
    <t>HALIMA</t>
  </si>
  <si>
    <t>2,RUE….</t>
  </si>
  <si>
    <t>06 40 50 50 30</t>
  </si>
  <si>
    <t>REF</t>
  </si>
  <si>
    <t>DISIGNATION</t>
  </si>
  <si>
    <t>QTE</t>
  </si>
  <si>
    <t>PRIX HT</t>
  </si>
  <si>
    <t>MINI</t>
  </si>
  <si>
    <t>PCPORTABLE</t>
  </si>
  <si>
    <t>PC</t>
  </si>
  <si>
    <t>ORDINATURE</t>
  </si>
  <si>
    <t>OR</t>
  </si>
  <si>
    <t>SCANNER</t>
  </si>
  <si>
    <t>SC</t>
  </si>
  <si>
    <t>MICROCASQUE</t>
  </si>
  <si>
    <t>MC</t>
  </si>
  <si>
    <t>CODE</t>
  </si>
  <si>
    <t xml:space="preserve"> PU TTC</t>
  </si>
  <si>
    <t>total ht</t>
  </si>
  <si>
    <t>tva</t>
  </si>
  <si>
    <t>NOM&amp;PRÈNOM</t>
  </si>
  <si>
    <t>Entreprise:info</t>
  </si>
  <si>
    <t>BRADA AHMAD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</si>
</sst>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#,##0\ [$DH-380C]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4" xfId="0" applyBorder="1"/>
    <xf numFmtId="0" fontId="0" fillId="0" borderId="4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4" xfId="0" applyFill="1" applyBorder="1"/>
    <xf numFmtId="9" fontId="0" fillId="0" borderId="4" xfId="0" applyNumberFormat="1" applyBorder="1"/>
    <xf numFmtId="0" fontId="0" fillId="4" borderId="4" xfId="0" applyFill="1" applyBorder="1"/>
    <xf numFmtId="0" fontId="1" fillId="5" borderId="4" xfId="0" applyFont="1" applyFill="1" applyBorder="1" applyAlignment="1">
      <alignment horizontal="center" vertical="center"/>
    </xf>
    <xf numFmtId="0" fontId="0" fillId="0" borderId="7" xfId="0" applyBorder="1"/>
    <xf numFmtId="0" fontId="0" fillId="3" borderId="4" xfId="0" applyFill="1" applyBorder="1" applyAlignment="1"/>
    <xf numFmtId="0" fontId="0" fillId="0" borderId="4" xfId="0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0" borderId="0" xfId="0" applyFont="1"/>
    <xf numFmtId="0" fontId="1" fillId="5" borderId="4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14" fontId="0" fillId="0" borderId="0" xfId="0" applyNumberFormat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4</xdr:row>
          <xdr:rowOff>95250</xdr:rowOff>
        </xdr:from>
        <xdr:to>
          <xdr:col>5</xdr:col>
          <xdr:colOff>123825</xdr:colOff>
          <xdr:row>5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4</xdr:row>
          <xdr:rowOff>95250</xdr:rowOff>
        </xdr:from>
        <xdr:to>
          <xdr:col>5</xdr:col>
          <xdr:colOff>123825</xdr:colOff>
          <xdr:row>5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4</xdr:row>
          <xdr:rowOff>95250</xdr:rowOff>
        </xdr:from>
        <xdr:to>
          <xdr:col>5</xdr:col>
          <xdr:colOff>123825</xdr:colOff>
          <xdr:row>5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4</xdr:row>
          <xdr:rowOff>95250</xdr:rowOff>
        </xdr:from>
        <xdr:to>
          <xdr:col>5</xdr:col>
          <xdr:colOff>123825</xdr:colOff>
          <xdr:row>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4</xdr:row>
          <xdr:rowOff>95250</xdr:rowOff>
        </xdr:from>
        <xdr:to>
          <xdr:col>5</xdr:col>
          <xdr:colOff>123825</xdr:colOff>
          <xdr:row>5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4</xdr:row>
          <xdr:rowOff>95250</xdr:rowOff>
        </xdr:from>
        <xdr:to>
          <xdr:col>5</xdr:col>
          <xdr:colOff>123825</xdr:colOff>
          <xdr:row>5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4</xdr:row>
          <xdr:rowOff>95250</xdr:rowOff>
        </xdr:from>
        <xdr:to>
          <xdr:col>5</xdr:col>
          <xdr:colOff>123825</xdr:colOff>
          <xdr:row>5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4</xdr:row>
          <xdr:rowOff>95250</xdr:rowOff>
        </xdr:from>
        <xdr:to>
          <xdr:col>5</xdr:col>
          <xdr:colOff>123825</xdr:colOff>
          <xdr:row>5</xdr:row>
          <xdr:rowOff>180975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4</xdr:row>
          <xdr:rowOff>95250</xdr:rowOff>
        </xdr:from>
        <xdr:to>
          <xdr:col>5</xdr:col>
          <xdr:colOff>123825</xdr:colOff>
          <xdr:row>5</xdr:row>
          <xdr:rowOff>180975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7</xdr:row>
          <xdr:rowOff>57150</xdr:rowOff>
        </xdr:from>
        <xdr:to>
          <xdr:col>4</xdr:col>
          <xdr:colOff>638175</xdr:colOff>
          <xdr:row>9</xdr:row>
          <xdr:rowOff>47625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666750</xdr:colOff>
          <xdr:row>1</xdr:row>
          <xdr:rowOff>133350</xdr:rowOff>
        </xdr:from>
        <xdr:to>
          <xdr:col>12</xdr:col>
          <xdr:colOff>304800</xdr:colOff>
          <xdr:row>3</xdr:row>
          <xdr:rowOff>95250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4</xdr:row>
          <xdr:rowOff>95250</xdr:rowOff>
        </xdr:from>
        <xdr:to>
          <xdr:col>5</xdr:col>
          <xdr:colOff>123825</xdr:colOff>
          <xdr:row>5</xdr:row>
          <xdr:rowOff>180975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4</xdr:row>
          <xdr:rowOff>95250</xdr:rowOff>
        </xdr:from>
        <xdr:to>
          <xdr:col>5</xdr:col>
          <xdr:colOff>123825</xdr:colOff>
          <xdr:row>5</xdr:row>
          <xdr:rowOff>180975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4</xdr:row>
          <xdr:rowOff>95250</xdr:rowOff>
        </xdr:from>
        <xdr:to>
          <xdr:col>5</xdr:col>
          <xdr:colOff>123825</xdr:colOff>
          <xdr:row>5</xdr:row>
          <xdr:rowOff>180975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4</xdr:row>
          <xdr:rowOff>95250</xdr:rowOff>
        </xdr:from>
        <xdr:to>
          <xdr:col>5</xdr:col>
          <xdr:colOff>123825</xdr:colOff>
          <xdr:row>5</xdr:row>
          <xdr:rowOff>180975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4</xdr:row>
          <xdr:rowOff>95250</xdr:rowOff>
        </xdr:from>
        <xdr:to>
          <xdr:col>5</xdr:col>
          <xdr:colOff>123825</xdr:colOff>
          <xdr:row>5</xdr:row>
          <xdr:rowOff>180975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66675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7</xdr:row>
          <xdr:rowOff>38100</xdr:rowOff>
        </xdr:from>
        <xdr:to>
          <xdr:col>4</xdr:col>
          <xdr:colOff>657225</xdr:colOff>
          <xdr:row>9</xdr:row>
          <xdr:rowOff>57150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7</xdr:row>
          <xdr:rowOff>9525</xdr:rowOff>
        </xdr:from>
        <xdr:to>
          <xdr:col>1</xdr:col>
          <xdr:colOff>647700</xdr:colOff>
          <xdr:row>8</xdr:row>
          <xdr:rowOff>171450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7</xdr:row>
          <xdr:rowOff>0</xdr:rowOff>
        </xdr:from>
        <xdr:to>
          <xdr:col>1</xdr:col>
          <xdr:colOff>695325</xdr:colOff>
          <xdr:row>8</xdr:row>
          <xdr:rowOff>161925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0</xdr:rowOff>
        </xdr:from>
        <xdr:to>
          <xdr:col>3</xdr:col>
          <xdr:colOff>838200</xdr:colOff>
          <xdr:row>8</xdr:row>
          <xdr:rowOff>28575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9" tint="-0.249977111117893"/>
  </sheetPr>
  <dimension ref="A2:L28"/>
  <sheetViews>
    <sheetView tabSelected="1" topLeftCell="A6" workbookViewId="0">
      <selection activeCell="C13" sqref="C13"/>
    </sheetView>
  </sheetViews>
  <sheetFormatPr baseColWidth="10" defaultRowHeight="15" x14ac:dyDescent="0.25"/>
  <cols>
    <col min="1" max="1" width="6.85546875" customWidth="1"/>
    <col min="2" max="2" width="19.140625" customWidth="1"/>
    <col min="4" max="4" width="13.28515625" bestFit="1" customWidth="1"/>
    <col min="11" max="11" width="12.28515625" bestFit="1" customWidth="1"/>
  </cols>
  <sheetData>
    <row r="2" spans="1:12" ht="15.75" thickBot="1" x14ac:dyDescent="0.3"/>
    <row r="3" spans="1:12" ht="16.5" thickBot="1" x14ac:dyDescent="0.3">
      <c r="A3" s="21" t="s">
        <v>49</v>
      </c>
      <c r="B3" s="22"/>
      <c r="C3" s="23"/>
      <c r="E3" s="26" t="s">
        <v>50</v>
      </c>
      <c r="F3" s="27"/>
      <c r="G3" s="28"/>
    </row>
    <row r="4" spans="1:12" x14ac:dyDescent="0.25">
      <c r="E4" s="26" t="str">
        <f>VLOOKUP(E3,CLIENT!A:D,4,0)</f>
        <v xml:space="preserve"> 13,RUE….</v>
      </c>
      <c r="F4" s="27"/>
      <c r="G4" s="28"/>
    </row>
    <row r="5" spans="1:12" x14ac:dyDescent="0.25">
      <c r="A5" s="24" t="s">
        <v>0</v>
      </c>
      <c r="B5" s="24"/>
      <c r="C5" s="16">
        <v>123</v>
      </c>
      <c r="E5" s="26">
        <f>VLOOKUP(E3,CLIENT!A:E,5,0)</f>
        <v>39812</v>
      </c>
      <c r="F5" s="27"/>
      <c r="G5" s="28"/>
    </row>
    <row r="6" spans="1:12" x14ac:dyDescent="0.25">
      <c r="E6" s="26" t="str">
        <f>VLOOKUP(E3,CLIENT!A:F,6,0)</f>
        <v>06 10 10 10 10</v>
      </c>
      <c r="F6" s="27"/>
      <c r="G6" s="28"/>
    </row>
    <row r="9" spans="1:12" x14ac:dyDescent="0.25">
      <c r="L9" s="18"/>
    </row>
    <row r="12" spans="1:12" x14ac:dyDescent="0.25">
      <c r="A12" s="8" t="s">
        <v>1</v>
      </c>
      <c r="B12" s="8" t="s">
        <v>2</v>
      </c>
      <c r="C12" s="8" t="s">
        <v>3</v>
      </c>
      <c r="D12" s="8" t="s">
        <v>4</v>
      </c>
      <c r="E12" s="8" t="s">
        <v>5</v>
      </c>
      <c r="F12" s="8" t="s">
        <v>45</v>
      </c>
      <c r="G12" s="8" t="s">
        <v>6</v>
      </c>
      <c r="I12" s="15" t="s">
        <v>46</v>
      </c>
      <c r="J12" s="15" t="s">
        <v>47</v>
      </c>
    </row>
    <row r="13" spans="1:12" x14ac:dyDescent="0.25">
      <c r="A13" s="12" t="s">
        <v>41</v>
      </c>
      <c r="B13" s="12" t="str">
        <f>IF(A13="","",VLOOKUP(A13,STOCK!A:B,2,0))</f>
        <v>SCANNER</v>
      </c>
      <c r="C13" s="13">
        <v>30</v>
      </c>
      <c r="D13" s="25">
        <f>IF(A13="","",VLOOKUP(A13,STOCK!A:D,4,0))</f>
        <v>1000</v>
      </c>
      <c r="E13" s="12">
        <f>IF(A13="","",VLOOKUP(A13,STOCK!A:E,5,0))</f>
        <v>1</v>
      </c>
      <c r="F13" s="12">
        <f>IF(A13="","",VLOOKUP(E13,TVA!A:B,2,0)*D13+D13)</f>
        <v>1100</v>
      </c>
      <c r="G13" s="12">
        <f>IF(A13="","",F13*C13)</f>
        <v>33000</v>
      </c>
      <c r="I13" s="16">
        <f>IF(A13="","",C13*D13)</f>
        <v>30000</v>
      </c>
      <c r="J13" s="16">
        <f>IF(A13="","",VLOOKUP(E13,TVA!A:B,2,0)*D13*C13)</f>
        <v>3000</v>
      </c>
    </row>
    <row r="14" spans="1:12" x14ac:dyDescent="0.25">
      <c r="A14" s="12" t="s">
        <v>43</v>
      </c>
      <c r="B14" s="12" t="str">
        <f>IF(A14="","",VLOOKUP(A14,STOCK!A:B,2,0))</f>
        <v>MICROCASQUE</v>
      </c>
      <c r="C14" s="13">
        <v>120</v>
      </c>
      <c r="D14" s="25">
        <f>IF(A14="","",VLOOKUP(A14,STOCK!A:D,4,0))</f>
        <v>80</v>
      </c>
      <c r="E14" s="12">
        <f>IF(A14="","",VLOOKUP(A14,STOCK!A:E,5,0))</f>
        <v>1</v>
      </c>
      <c r="F14" s="17">
        <f>IF(A14="","",VLOOKUP(E14,TVA!A:B,2,0)*D13+D13)</f>
        <v>1100</v>
      </c>
      <c r="G14" s="12">
        <f>IF(A14="","",F14*C14)</f>
        <v>132000</v>
      </c>
      <c r="I14" s="16">
        <f t="shared" ref="I14:I24" si="0">IF(A14="","",C14*D14)</f>
        <v>9600</v>
      </c>
      <c r="J14" s="16">
        <f>IF(A14="","",VLOOKUP(E14,TVA!A:B,2,0)*D14*C14)</f>
        <v>960</v>
      </c>
    </row>
    <row r="15" spans="1:12" x14ac:dyDescent="0.25">
      <c r="A15" s="12" t="s">
        <v>39</v>
      </c>
      <c r="B15" s="12" t="str">
        <f>IF(A15="","",VLOOKUP(A15,STOCK!A:B,2,0))</f>
        <v>ORDINATURE</v>
      </c>
      <c r="C15" s="13">
        <f t="shared" ref="C15:C24" si="1">IF(A15="","",1)</f>
        <v>1</v>
      </c>
      <c r="D15" s="25">
        <f>IF(A15="","",VLOOKUP(A15,STOCK!A:D,4,0))</f>
        <v>2500</v>
      </c>
      <c r="E15" s="12">
        <f>IF(A15="","",VLOOKUP(A15,STOCK!A:E,5,0))</f>
        <v>2</v>
      </c>
      <c r="F15" s="17">
        <f>IF(A15="","",VLOOKUP(E15,TVA!A:B,2,0)*D13+D13)</f>
        <v>1200</v>
      </c>
      <c r="G15" s="12">
        <f>IF(A15="","",F15*C15)</f>
        <v>1200</v>
      </c>
      <c r="I15" s="16">
        <f t="shared" si="0"/>
        <v>2500</v>
      </c>
      <c r="J15" s="16">
        <f>IF(A15="","",VLOOKUP(E15,TVA!A:B,2,0)*D15*C15)</f>
        <v>500</v>
      </c>
    </row>
    <row r="16" spans="1:12" x14ac:dyDescent="0.25">
      <c r="A16" s="12" t="s">
        <v>39</v>
      </c>
      <c r="B16" s="12" t="str">
        <f>IF(A16="","",VLOOKUP(A16,STOCK!A:B,2,0))</f>
        <v>ORDINATURE</v>
      </c>
      <c r="C16" s="13">
        <v>100</v>
      </c>
      <c r="D16" s="25">
        <f>IF(A16="","",VLOOKUP(A16,STOCK!A:D,4,0))</f>
        <v>2500</v>
      </c>
      <c r="E16" s="12">
        <f>IF(A16="","",VLOOKUP(A16,STOCK!A:E,5,0))</f>
        <v>2</v>
      </c>
      <c r="F16" s="17">
        <f>IF(A16="","",VLOOKUP(E16,TVA!A:B,2,0)*D16+D16)</f>
        <v>3000</v>
      </c>
      <c r="G16" s="12">
        <f>IF(A16="","",F16*C16)</f>
        <v>300000</v>
      </c>
      <c r="I16" s="16">
        <f t="shared" si="0"/>
        <v>250000</v>
      </c>
      <c r="J16" s="16">
        <f>IF(A16="","",VLOOKUP(E16,TVA!A:B,2,0)*D16*C16)</f>
        <v>50000</v>
      </c>
    </row>
    <row r="17" spans="1:10" x14ac:dyDescent="0.25">
      <c r="A17" s="12" t="s">
        <v>37</v>
      </c>
      <c r="B17" s="12" t="str">
        <f>IF(A17="","",VLOOKUP(A17,STOCK!A:B,2,0))</f>
        <v>PCPORTABLE</v>
      </c>
      <c r="C17" s="13">
        <v>120</v>
      </c>
      <c r="D17" s="25">
        <f>IF(A17="","",VLOOKUP(A17,STOCK!A:D,4,0))</f>
        <v>4500</v>
      </c>
      <c r="E17" s="12">
        <f>IF(A17="","",VLOOKUP(A17,STOCK!A:E,5,0))</f>
        <v>2</v>
      </c>
      <c r="F17" s="17">
        <f>IF(A17="","",VLOOKUP(E17,TVA!A:B,2,0)*D17+D17)</f>
        <v>5400</v>
      </c>
      <c r="G17" s="12">
        <f>IF(A17="","",F17*C17)</f>
        <v>648000</v>
      </c>
      <c r="I17" s="16">
        <f t="shared" si="0"/>
        <v>540000</v>
      </c>
      <c r="J17" s="16">
        <f>IF(A17="","",VLOOKUP(E17,TVA!A:B,2,0)*D17*C17)</f>
        <v>108000</v>
      </c>
    </row>
    <row r="18" spans="1:10" x14ac:dyDescent="0.25">
      <c r="A18" s="12" t="s">
        <v>39</v>
      </c>
      <c r="B18" s="12" t="str">
        <f>IF(A18="","",VLOOKUP(A18,STOCK!A:B,2,0))</f>
        <v>ORDINATURE</v>
      </c>
      <c r="C18" s="13">
        <v>120</v>
      </c>
      <c r="D18" s="25">
        <f>IF(A18="","",VLOOKUP(A18,STOCK!A:D,4,0))</f>
        <v>2500</v>
      </c>
      <c r="E18" s="12">
        <f>IF(A18="","",VLOOKUP(A18,STOCK!A:E,5,0))</f>
        <v>2</v>
      </c>
      <c r="F18" s="17">
        <f>IF(A18="","",VLOOKUP(E18,TVA!A:B,2,0)*D18+D18)</f>
        <v>3000</v>
      </c>
      <c r="G18" s="12">
        <f>IF(A18="","",F18*C18)</f>
        <v>360000</v>
      </c>
      <c r="I18" s="16">
        <f t="shared" si="0"/>
        <v>300000</v>
      </c>
      <c r="J18" s="16">
        <f>IF(A18="","",VLOOKUP(E18,TVA!A:B,2,0)*D18*C18)</f>
        <v>60000</v>
      </c>
    </row>
    <row r="19" spans="1:10" x14ac:dyDescent="0.25">
      <c r="A19" s="12" t="s">
        <v>41</v>
      </c>
      <c r="B19" s="12" t="str">
        <f>IF(A19="","",VLOOKUP(A19,STOCK!A:B,2,0))</f>
        <v>SCANNER</v>
      </c>
      <c r="C19" s="13">
        <f t="shared" si="1"/>
        <v>1</v>
      </c>
      <c r="D19" s="25">
        <f>IF(A19="","",VLOOKUP(A19,STOCK!A:D,4,0))</f>
        <v>1000</v>
      </c>
      <c r="E19" s="12">
        <f>IF(A19="","",VLOOKUP(A19,STOCK!A:E,5,0))</f>
        <v>1</v>
      </c>
      <c r="F19" s="17">
        <f>IF(A19="","",VLOOKUP(E19,TVA!A:B,2,0)*D19+D19)</f>
        <v>1100</v>
      </c>
      <c r="G19" s="12">
        <f>IF(A19="","",F19*C19)</f>
        <v>1100</v>
      </c>
      <c r="I19" s="16">
        <f t="shared" si="0"/>
        <v>1000</v>
      </c>
      <c r="J19" s="16">
        <f>IF(A19="","",VLOOKUP(E19,TVA!A:B,2,0)*D19*C19)</f>
        <v>100</v>
      </c>
    </row>
    <row r="20" spans="1:10" x14ac:dyDescent="0.25">
      <c r="A20" s="12" t="s">
        <v>39</v>
      </c>
      <c r="B20" s="12" t="str">
        <f>IF(A20="","",VLOOKUP(A20,STOCK!A:B,2,0))</f>
        <v>ORDINATURE</v>
      </c>
      <c r="C20" s="13">
        <v>200</v>
      </c>
      <c r="D20" s="25">
        <f>IF(A20="","",VLOOKUP(A20,STOCK!A:D,4,0))</f>
        <v>2500</v>
      </c>
      <c r="E20" s="12">
        <f>IF(A20="","",VLOOKUP(A20,STOCK!A:E,5,0))</f>
        <v>2</v>
      </c>
      <c r="F20" s="17">
        <f>IF(A20="","",VLOOKUP(E20,TVA!A:B,2,0)*D20+D20)</f>
        <v>3000</v>
      </c>
      <c r="G20" s="12">
        <f>IF(A20="","",F20*C20)</f>
        <v>600000</v>
      </c>
      <c r="I20" s="16">
        <f t="shared" si="0"/>
        <v>500000</v>
      </c>
      <c r="J20" s="16">
        <f>IF(A20="","",VLOOKUP(E20,TVA!A:B,2,0)*D20*C20)</f>
        <v>100000</v>
      </c>
    </row>
    <row r="21" spans="1:10" x14ac:dyDescent="0.25">
      <c r="A21" s="12" t="s">
        <v>37</v>
      </c>
      <c r="B21" s="12" t="str">
        <f>IF(A21="","",VLOOKUP(A21,STOCK!A:B,2,0))</f>
        <v>PCPORTABLE</v>
      </c>
      <c r="C21" s="13">
        <f t="shared" si="1"/>
        <v>1</v>
      </c>
      <c r="D21" s="25">
        <f>IF(A21="","",VLOOKUP(A21,STOCK!A:D,4,0))</f>
        <v>4500</v>
      </c>
      <c r="E21" s="12">
        <f>IF(A21="","",VLOOKUP(A21,STOCK!A:E,5,0))</f>
        <v>2</v>
      </c>
      <c r="F21" s="17">
        <f>IF(A21="","",VLOOKUP(E21,TVA!A:B,2,0)*D21+D21)</f>
        <v>5400</v>
      </c>
      <c r="G21" s="12">
        <f>IF(A21="","",F21*C21)</f>
        <v>5400</v>
      </c>
      <c r="I21" s="16">
        <f t="shared" si="0"/>
        <v>4500</v>
      </c>
      <c r="J21" s="16">
        <f>IF(A21="","",VLOOKUP(E21,TVA!A:B,2,0)*D21*C21)</f>
        <v>900</v>
      </c>
    </row>
    <row r="22" spans="1:10" x14ac:dyDescent="0.25">
      <c r="A22" s="12" t="s">
        <v>37</v>
      </c>
      <c r="B22" s="12" t="str">
        <f>IF(A22="","",VLOOKUP(A22,STOCK!A:B,2,0))</f>
        <v>PCPORTABLE</v>
      </c>
      <c r="C22" s="13">
        <v>234</v>
      </c>
      <c r="D22" s="25">
        <f>IF(A22="","",VLOOKUP(A22,STOCK!A:D,4,0))</f>
        <v>4500</v>
      </c>
      <c r="E22" s="12">
        <f>IF(A22="","",VLOOKUP(A22,STOCK!A:E,5,0))</f>
        <v>2</v>
      </c>
      <c r="F22" s="17">
        <f>IF(A22="","",VLOOKUP(E22,TVA!A:B,2,0)*D22+D22)</f>
        <v>5400</v>
      </c>
      <c r="G22" s="12">
        <f>IF(A22="","",F22*C22)</f>
        <v>1263600</v>
      </c>
      <c r="I22" s="16">
        <f t="shared" si="0"/>
        <v>1053000</v>
      </c>
      <c r="J22" s="16">
        <f>IF(A22="","",VLOOKUP(E22,TVA!A:B,2,0)*D22*C22)</f>
        <v>210600</v>
      </c>
    </row>
    <row r="23" spans="1:10" x14ac:dyDescent="0.25">
      <c r="A23" s="12" t="s">
        <v>37</v>
      </c>
      <c r="B23" s="12" t="str">
        <f>IF(A23="","",VLOOKUP(A23,STOCK!A:B,2,0))</f>
        <v>PCPORTABLE</v>
      </c>
      <c r="C23" s="13">
        <f t="shared" si="1"/>
        <v>1</v>
      </c>
      <c r="D23" s="25">
        <f>IF(A23="","",VLOOKUP(A23,STOCK!A:D,4,0))</f>
        <v>4500</v>
      </c>
      <c r="E23" s="12">
        <f>IF(A23="","",VLOOKUP(A23,STOCK!A:E,5,0))</f>
        <v>2</v>
      </c>
      <c r="F23" s="17">
        <f>IF(A23="","",VLOOKUP(E23,TVA!A:B,2,0)*D23+D23)</f>
        <v>5400</v>
      </c>
      <c r="G23" s="12">
        <f>IF(A23="","",F23*C23)</f>
        <v>5400</v>
      </c>
      <c r="I23" s="16">
        <f t="shared" si="0"/>
        <v>4500</v>
      </c>
      <c r="J23" s="16">
        <f>IF(A23="","",VLOOKUP(E23,TVA!A:B,2,0)*D23*C23)</f>
        <v>900</v>
      </c>
    </row>
    <row r="24" spans="1:10" x14ac:dyDescent="0.25">
      <c r="A24" s="12" t="s">
        <v>41</v>
      </c>
      <c r="B24" s="12" t="str">
        <f>IF(A24="","",VLOOKUP(A24,STOCK!A:B,2,0))</f>
        <v>SCANNER</v>
      </c>
      <c r="C24" s="13">
        <f t="shared" si="1"/>
        <v>1</v>
      </c>
      <c r="D24" s="25">
        <f>IF(A24="","",VLOOKUP(A24,STOCK!A:D,4,0))</f>
        <v>1000</v>
      </c>
      <c r="E24" s="12">
        <f>IF(A24="","",VLOOKUP(A24,STOCK!A:E,5,0))</f>
        <v>1</v>
      </c>
      <c r="F24" s="17">
        <f>IF(A24="","",VLOOKUP(E24,TVA!A:B,2,0)*D24+D24)</f>
        <v>1100</v>
      </c>
      <c r="G24" s="12">
        <f>IF(A24="","",F24*C24)</f>
        <v>1100</v>
      </c>
      <c r="I24" s="16">
        <f t="shared" si="0"/>
        <v>1000</v>
      </c>
      <c r="J24" s="16">
        <f>IF(A24="","",VLOOKUP(E24,TVA!A:B,2,0)*D24*C24)</f>
        <v>100</v>
      </c>
    </row>
    <row r="25" spans="1:10" x14ac:dyDescent="0.25">
      <c r="A25" s="14"/>
      <c r="B25" s="14"/>
      <c r="C25" s="14"/>
      <c r="D25" s="14"/>
      <c r="E25" s="19" t="s">
        <v>9</v>
      </c>
      <c r="F25" s="20"/>
      <c r="G25" s="13">
        <f>SUM(I13:I24)</f>
        <v>2696100</v>
      </c>
    </row>
    <row r="26" spans="1:10" x14ac:dyDescent="0.25">
      <c r="A26" s="14"/>
      <c r="B26" s="14"/>
      <c r="C26" s="14"/>
      <c r="D26" s="14"/>
      <c r="E26" s="19" t="s">
        <v>5</v>
      </c>
      <c r="F26" s="20"/>
      <c r="G26" s="13">
        <f>SUM(J13:J24)</f>
        <v>535060</v>
      </c>
    </row>
    <row r="27" spans="1:10" x14ac:dyDescent="0.25">
      <c r="A27" s="14"/>
      <c r="B27" s="14"/>
      <c r="C27" s="14"/>
      <c r="D27" s="14"/>
      <c r="E27" s="19" t="s">
        <v>7</v>
      </c>
      <c r="F27" s="20"/>
      <c r="G27" s="13">
        <v>500</v>
      </c>
    </row>
    <row r="28" spans="1:10" x14ac:dyDescent="0.25">
      <c r="A28" s="14"/>
      <c r="B28" s="14"/>
      <c r="C28" s="14"/>
      <c r="D28" s="14"/>
      <c r="E28" s="19" t="s">
        <v>8</v>
      </c>
      <c r="F28" s="20"/>
      <c r="G28" s="13">
        <f>SUM(G13:G24)</f>
        <v>3350800</v>
      </c>
    </row>
  </sheetData>
  <mergeCells count="10">
    <mergeCell ref="E3:G3"/>
    <mergeCell ref="E5:G5"/>
    <mergeCell ref="E6:G6"/>
    <mergeCell ref="A3:C3"/>
    <mergeCell ref="A5:B5"/>
    <mergeCell ref="E26:F26"/>
    <mergeCell ref="E27:F27"/>
    <mergeCell ref="E28:F28"/>
    <mergeCell ref="E4:G4"/>
    <mergeCell ref="E25:F2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_xludf.restart">
                <anchor moveWithCells="1" sizeWithCells="1">
                  <from>
                    <xdr:col>3</xdr:col>
                    <xdr:colOff>685800</xdr:colOff>
                    <xdr:row>4</xdr:row>
                    <xdr:rowOff>95250</xdr:rowOff>
                  </from>
                  <to>
                    <xdr:col>5</xdr:col>
                    <xdr:colOff>123825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_xludf.restart">
                <anchor moveWithCells="1" sizeWithCells="1">
                  <from>
                    <xdr:col>3</xdr:col>
                    <xdr:colOff>685800</xdr:colOff>
                    <xdr:row>4</xdr:row>
                    <xdr:rowOff>95250</xdr:rowOff>
                  </from>
                  <to>
                    <xdr:col>5</xdr:col>
                    <xdr:colOff>123825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_xludf.restart">
                <anchor moveWithCells="1" sizeWithCells="1">
                  <from>
                    <xdr:col>3</xdr:col>
                    <xdr:colOff>685800</xdr:colOff>
                    <xdr:row>4</xdr:row>
                    <xdr:rowOff>95250</xdr:rowOff>
                  </from>
                  <to>
                    <xdr:col>5</xdr:col>
                    <xdr:colOff>123825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Button 17">
              <controlPr defaultSize="0" print="0" autoFill="0" autoPict="0" macro="[0]!_xludf.restart">
                <anchor moveWithCells="1" sizeWithCells="1">
                  <from>
                    <xdr:col>3</xdr:col>
                    <xdr:colOff>685800</xdr:colOff>
                    <xdr:row>4</xdr:row>
                    <xdr:rowOff>95250</xdr:rowOff>
                  </from>
                  <to>
                    <xdr:col>5</xdr:col>
                    <xdr:colOff>123825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Button 18">
              <controlPr defaultSize="0" print="0" autoFill="0" autoPict="0" macro="[0]!_xludf.restart">
                <anchor moveWithCells="1" sizeWithCells="1">
                  <from>
                    <xdr:col>3</xdr:col>
                    <xdr:colOff>685800</xdr:colOff>
                    <xdr:row>4</xdr:row>
                    <xdr:rowOff>95250</xdr:rowOff>
                  </from>
                  <to>
                    <xdr:col>5</xdr:col>
                    <xdr:colOff>123825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_xludf.restart">
                <anchor moveWithCells="1" sizeWithCells="1">
                  <from>
                    <xdr:col>3</xdr:col>
                    <xdr:colOff>685800</xdr:colOff>
                    <xdr:row>4</xdr:row>
                    <xdr:rowOff>95250</xdr:rowOff>
                  </from>
                  <to>
                    <xdr:col>5</xdr:col>
                    <xdr:colOff>123825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Button 23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Button 24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Button 25">
              <controlPr defaultSize="0" print="0" autoFill="0" autoPict="0" macro="[0]!_xludf.restart">
                <anchor moveWithCells="1" sizeWithCells="1">
                  <from>
                    <xdr:col>3</xdr:col>
                    <xdr:colOff>685800</xdr:colOff>
                    <xdr:row>4</xdr:row>
                    <xdr:rowOff>95250</xdr:rowOff>
                  </from>
                  <to>
                    <xdr:col>5</xdr:col>
                    <xdr:colOff>123825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Button 26">
              <controlPr defaultSize="0" print="0" autoFill="0" autoPict="0" macro="[0]!_xludf.restart">
                <anchor moveWithCells="1" sizeWithCells="1">
                  <from>
                    <xdr:col>3</xdr:col>
                    <xdr:colOff>685800</xdr:colOff>
                    <xdr:row>4</xdr:row>
                    <xdr:rowOff>95250</xdr:rowOff>
                  </from>
                  <to>
                    <xdr:col>5</xdr:col>
                    <xdr:colOff>123825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Button 27">
              <controlPr defaultSize="0" print="0" autoFill="0" autoPict="0" macro="[0]!_xludf.restart">
                <anchor moveWithCells="1" sizeWithCells="1">
                  <from>
                    <xdr:col>3</xdr:col>
                    <xdr:colOff>685800</xdr:colOff>
                    <xdr:row>4</xdr:row>
                    <xdr:rowOff>95250</xdr:rowOff>
                  </from>
                  <to>
                    <xdr:col>5</xdr:col>
                    <xdr:colOff>123825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Button 28">
              <controlPr defaultSize="0" print="0" autoFill="0" autoPict="0" macro="[0]!replay">
                <anchor moveWithCells="1" sizeWithCells="1">
                  <from>
                    <xdr:col>3</xdr:col>
                    <xdr:colOff>304800</xdr:colOff>
                    <xdr:row>7</xdr:row>
                    <xdr:rowOff>57150</xdr:rowOff>
                  </from>
                  <to>
                    <xdr:col>4</xdr:col>
                    <xdr:colOff>638175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Button 30">
              <controlPr defaultSize="0" print="0" autoFill="0" autoPict="0" macro="[0]!replay">
                <anchor moveWithCells="1" sizeWithCells="1">
                  <from>
                    <xdr:col>10</xdr:col>
                    <xdr:colOff>666750</xdr:colOff>
                    <xdr:row>1</xdr:row>
                    <xdr:rowOff>133350</xdr:rowOff>
                  </from>
                  <to>
                    <xdr:col>12</xdr:col>
                    <xdr:colOff>304800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Button 31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Button 32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Button 33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Button 34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Button 35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Button 36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1" name="Button 37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2" name="Button 38">
              <controlPr defaultSize="0" print="0" autoFill="0" autoPict="0" macro="[0]!_xludf.restart">
                <anchor moveWithCells="1" sizeWithCells="1">
                  <from>
                    <xdr:col>3</xdr:col>
                    <xdr:colOff>685800</xdr:colOff>
                    <xdr:row>4</xdr:row>
                    <xdr:rowOff>95250</xdr:rowOff>
                  </from>
                  <to>
                    <xdr:col>5</xdr:col>
                    <xdr:colOff>123825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3" name="Button 39">
              <controlPr defaultSize="0" print="0" autoFill="0" autoPict="0" macro="[0]!_xludf.restart">
                <anchor moveWithCells="1" sizeWithCells="1">
                  <from>
                    <xdr:col>3</xdr:col>
                    <xdr:colOff>685800</xdr:colOff>
                    <xdr:row>4</xdr:row>
                    <xdr:rowOff>95250</xdr:rowOff>
                  </from>
                  <to>
                    <xdr:col>5</xdr:col>
                    <xdr:colOff>123825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4" name="Button 40">
              <controlPr defaultSize="0" print="0" autoFill="0" autoPict="0" macro="[0]!_xludf.restart">
                <anchor moveWithCells="1" sizeWithCells="1">
                  <from>
                    <xdr:col>3</xdr:col>
                    <xdr:colOff>685800</xdr:colOff>
                    <xdr:row>4</xdr:row>
                    <xdr:rowOff>95250</xdr:rowOff>
                  </from>
                  <to>
                    <xdr:col>5</xdr:col>
                    <xdr:colOff>123825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5" name="Button 41">
              <controlPr defaultSize="0" print="0" autoFill="0" autoPict="0" macro="[0]!_xludf.restart">
                <anchor moveWithCells="1" sizeWithCells="1">
                  <from>
                    <xdr:col>3</xdr:col>
                    <xdr:colOff>685800</xdr:colOff>
                    <xdr:row>4</xdr:row>
                    <xdr:rowOff>95250</xdr:rowOff>
                  </from>
                  <to>
                    <xdr:col>5</xdr:col>
                    <xdr:colOff>123825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6" name="Button 42">
              <controlPr defaultSize="0" print="0" autoFill="0" autoPict="0" macro="[0]!_xludf.restart">
                <anchor moveWithCells="1" sizeWithCells="1">
                  <from>
                    <xdr:col>3</xdr:col>
                    <xdr:colOff>685800</xdr:colOff>
                    <xdr:row>4</xdr:row>
                    <xdr:rowOff>95250</xdr:rowOff>
                  </from>
                  <to>
                    <xdr:col>5</xdr:col>
                    <xdr:colOff>123825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7" name="Button 43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8" name="Button 44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9" name="Button 45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0" name="Button 46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1" name="Button 47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2" name="Button 48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3" name="Button 49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4" name="Button 50">
              <controlPr defaultSize="0" print="0" autoFill="0" autoPict="0" macro="[0]!replay">
                <anchor moveWithCells="1" sizeWithCells="1">
                  <from>
                    <xdr:col>3</xdr:col>
                    <xdr:colOff>323850</xdr:colOff>
                    <xdr:row>7</xdr:row>
                    <xdr:rowOff>66675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5" name="Button 51">
              <controlPr defaultSize="0" print="0" autoFill="0" autoPict="0" macro="[0]!Bouton51_Cliquer">
                <anchor moveWithCells="1" sizeWithCells="1">
                  <from>
                    <xdr:col>3</xdr:col>
                    <xdr:colOff>323850</xdr:colOff>
                    <xdr:row>7</xdr:row>
                    <xdr:rowOff>38100</xdr:rowOff>
                  </from>
                  <to>
                    <xdr:col>4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6" name="Button 54">
              <controlPr defaultSize="0" print="0" autoFill="0" autoPict="0">
                <anchor moveWithCells="1" sizeWithCells="1">
                  <from>
                    <xdr:col>0</xdr:col>
                    <xdr:colOff>180975</xdr:colOff>
                    <xdr:row>7</xdr:row>
                    <xdr:rowOff>9525</xdr:rowOff>
                  </from>
                  <to>
                    <xdr:col>1</xdr:col>
                    <xdr:colOff>647700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7" name="Button 55">
              <controlPr defaultSize="0" print="0" autoFill="0" autoPict="0" macro="[0]!Bouton55_Cliquer">
                <anchor moveWithCells="1" sizeWithCells="1">
                  <from>
                    <xdr:col>0</xdr:col>
                    <xdr:colOff>228600</xdr:colOff>
                    <xdr:row>7</xdr:row>
                    <xdr:rowOff>0</xdr:rowOff>
                  </from>
                  <to>
                    <xdr:col>1</xdr:col>
                    <xdr:colOff>695325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8" name="Button 56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9" name="Button 57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0" name="Button 58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1" name="Button 59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2" name="Button 60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3" name="Button 61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4" name="Button 62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5" name="Button 63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6" name="Button 64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7" name="Button 65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8" name="Button 66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9" name="Button 67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0" name="Button 68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1" name="Button 69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2" name="Button 70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63" name="Button 71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64" name="Button 72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5" name="Button 73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6" name="Button 74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7" name="Button 75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8" name="Button 76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9" name="Button 77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0" name="Button 78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1" name="Button 79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2" name="Button 80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73" name="Button 81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74" name="Button 82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5" name="Button 83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6" name="Button 84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7" name="Button 85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8" name="Button 86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9" name="Button 87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0" name="Button 89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1" name="Button 90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82" name="Button 91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83" name="Button 92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84" name="Button 93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85" name="Button 94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86" name="Button 95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87" name="Button 96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8" name="Button 97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89" name="Button 98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0" name="Button 99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1" name="Button 100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92" name="Button 101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93" name="Button 102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4" name="Button 103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95" name="Button 104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96" name="Button 107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97" name="Button 108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98" name="Button 109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99" name="Button 110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00" name="Button 111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01" name="Button 112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02" name="Button 113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03" name="Button 114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04" name="Button 115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05" name="Button 116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06" name="Button 117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07" name="Button 118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08" name="Button 119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09" name="Button 120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10" name="Button 121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11" name="Button 122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12" name="Button 123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13" name="Button 125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14" name="Button 126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15" name="Button 127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16" name="Button 129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17" name="Button 130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18" name="Button 131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19" name="Button 132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20" name="Button 133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21" name="Button 134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22" name="Button 135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23" name="Button 137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24" name="Button 138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25" name="Button 139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26" name="Button 140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27" name="Button 141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28" name="Button 142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29" name="Button 143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30" name="Button 144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31" name="Button 145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32" name="Button 146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33" name="Button 147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34" name="Button 148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35" name="Button 149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36" name="Button 150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37" name="Button 151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38" name="Button 152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39" name="Button 153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40" name="Button 154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41" name="Button 155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42" name="Button 157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43" name="Button 158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44" name="Button 159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45" name="Button 160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46" name="Button 161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47" name="Button 162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48" name="Button 163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49" name="Button 164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50" name="Button 165">
              <controlPr defaultSize="0" print="0" autoFill="0" autoPict="0" macro="[0]!replay">
                <anchor moveWithCells="1" sizeWithCells="1">
                  <from>
                    <xdr:col>3</xdr:col>
                    <xdr:colOff>38100</xdr:colOff>
                    <xdr:row>7</xdr:row>
                    <xdr:rowOff>0</xdr:rowOff>
                  </from>
                  <to>
                    <xdr:col>3</xdr:col>
                    <xdr:colOff>838200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STOCK!$A:$A</xm:f>
          </x14:formula1>
          <xm:sqref>A13:A24</xm:sqref>
        </x14:dataValidation>
        <x14:dataValidation type="list" allowBlank="1" showInputMessage="1" showErrorMessage="1">
          <x14:formula1>
            <xm:f>CLIENT!$A:$A</xm:f>
          </x14:formula1>
          <xm:sqref>E3:G3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C00000"/>
  </sheetPr>
  <dimension ref="A1:F5"/>
  <sheetViews>
    <sheetView workbookViewId="0">
      <selection activeCell="A2" sqref="A2"/>
    </sheetView>
  </sheetViews>
  <sheetFormatPr baseColWidth="10" defaultRowHeight="15" x14ac:dyDescent="0.25"/>
  <cols>
    <col min="1" max="1" width="14.85546875" style="4" bestFit="1" customWidth="1"/>
    <col min="2" max="3" width="11.42578125" style="4"/>
    <col min="4" max="4" width="17.140625" style="4" customWidth="1"/>
    <col min="5" max="5" width="19.5703125" style="4" customWidth="1"/>
    <col min="6" max="6" width="22.28515625" style="4" customWidth="1"/>
    <col min="7" max="16384" width="11.42578125" style="4"/>
  </cols>
  <sheetData>
    <row r="1" spans="1:6" x14ac:dyDescent="0.25">
      <c r="A1" s="3" t="s">
        <v>48</v>
      </c>
      <c r="B1" s="3" t="s">
        <v>10</v>
      </c>
      <c r="C1" s="3" t="s">
        <v>11</v>
      </c>
      <c r="D1" s="3" t="s">
        <v>12</v>
      </c>
      <c r="E1" s="3" t="s">
        <v>13</v>
      </c>
      <c r="F1" s="3" t="s">
        <v>14</v>
      </c>
    </row>
    <row r="2" spans="1:6" x14ac:dyDescent="0.25">
      <c r="A2" s="11" t="str">
        <f>CONCATENATE(B2," ",C2)</f>
        <v>BRADA AHMAD</v>
      </c>
      <c r="B2" s="2" t="s">
        <v>15</v>
      </c>
      <c r="C2" s="2" t="s">
        <v>16</v>
      </c>
      <c r="D2" s="2" t="s">
        <v>21</v>
      </c>
      <c r="E2" s="2">
        <v>39812</v>
      </c>
      <c r="F2" s="2" t="s">
        <v>17</v>
      </c>
    </row>
    <row r="3" spans="1:6" x14ac:dyDescent="0.25">
      <c r="A3" s="11" t="str">
        <f t="shared" ref="A3:A5" si="0">CONCATENATE(B3," ",C3)</f>
        <v>SFRIWI SANAE</v>
      </c>
      <c r="B3" s="2" t="s">
        <v>18</v>
      </c>
      <c r="C3" s="2" t="s">
        <v>19</v>
      </c>
      <c r="D3" s="2" t="s">
        <v>20</v>
      </c>
      <c r="E3" s="2">
        <v>50324</v>
      </c>
      <c r="F3" s="2" t="s">
        <v>22</v>
      </c>
    </row>
    <row r="4" spans="1:6" x14ac:dyDescent="0.25">
      <c r="A4" s="11" t="str">
        <f t="shared" si="0"/>
        <v>NAJMI KARIM</v>
      </c>
      <c r="B4" s="2" t="s">
        <v>23</v>
      </c>
      <c r="C4" s="2" t="s">
        <v>24</v>
      </c>
      <c r="D4" s="2" t="s">
        <v>25</v>
      </c>
      <c r="E4" s="2">
        <v>60245</v>
      </c>
      <c r="F4" s="2" t="s">
        <v>26</v>
      </c>
    </row>
    <row r="5" spans="1:6" x14ac:dyDescent="0.25">
      <c r="A5" s="11" t="str">
        <f t="shared" si="0"/>
        <v>MALKI HALIMA</v>
      </c>
      <c r="B5" s="2" t="s">
        <v>27</v>
      </c>
      <c r="C5" s="2" t="s">
        <v>28</v>
      </c>
      <c r="D5" s="2" t="s">
        <v>29</v>
      </c>
      <c r="E5" s="2">
        <v>50643</v>
      </c>
      <c r="F5" s="2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4"/>
  </sheetPr>
  <dimension ref="A1:F6"/>
  <sheetViews>
    <sheetView workbookViewId="0">
      <selection activeCell="D9" sqref="D9"/>
    </sheetView>
  </sheetViews>
  <sheetFormatPr baseColWidth="10" defaultRowHeight="15" x14ac:dyDescent="0.25"/>
  <cols>
    <col min="1" max="1" width="7.140625" customWidth="1"/>
    <col min="2" max="2" width="19" customWidth="1"/>
    <col min="3" max="3" width="15.140625" customWidth="1"/>
    <col min="4" max="4" width="15.5703125" customWidth="1"/>
    <col min="5" max="5" width="14.85546875" customWidth="1"/>
    <col min="6" max="6" width="14.28515625" customWidth="1"/>
  </cols>
  <sheetData>
    <row r="1" spans="1:6" x14ac:dyDescent="0.25">
      <c r="A1" s="10" t="s">
        <v>31</v>
      </c>
      <c r="B1" s="5" t="s">
        <v>32</v>
      </c>
      <c r="C1" s="5" t="s">
        <v>33</v>
      </c>
      <c r="D1" s="5" t="s">
        <v>34</v>
      </c>
      <c r="E1" s="5" t="s">
        <v>5</v>
      </c>
      <c r="F1" s="5" t="s">
        <v>35</v>
      </c>
    </row>
    <row r="2" spans="1:6" x14ac:dyDescent="0.25">
      <c r="A2" s="1" t="s">
        <v>37</v>
      </c>
      <c r="B2" s="1" t="s">
        <v>36</v>
      </c>
      <c r="C2" s="1">
        <v>60</v>
      </c>
      <c r="D2" s="1">
        <v>4500</v>
      </c>
      <c r="E2" s="1">
        <v>2</v>
      </c>
      <c r="F2" s="1">
        <v>15</v>
      </c>
    </row>
    <row r="3" spans="1:6" x14ac:dyDescent="0.25">
      <c r="A3" s="1" t="s">
        <v>39</v>
      </c>
      <c r="B3" s="1" t="s">
        <v>38</v>
      </c>
      <c r="C3" s="1">
        <v>30</v>
      </c>
      <c r="D3" s="1">
        <v>2500</v>
      </c>
      <c r="E3" s="1">
        <v>2</v>
      </c>
      <c r="F3" s="1">
        <v>10</v>
      </c>
    </row>
    <row r="4" spans="1:6" x14ac:dyDescent="0.25">
      <c r="A4" s="1" t="s">
        <v>41</v>
      </c>
      <c r="B4" s="1" t="s">
        <v>40</v>
      </c>
      <c r="C4" s="1">
        <v>10</v>
      </c>
      <c r="D4" s="1">
        <v>1000</v>
      </c>
      <c r="E4" s="1">
        <v>1</v>
      </c>
      <c r="F4" s="1">
        <v>2</v>
      </c>
    </row>
    <row r="5" spans="1:6" x14ac:dyDescent="0.25">
      <c r="A5" s="1" t="s">
        <v>43</v>
      </c>
      <c r="B5" s="1" t="s">
        <v>42</v>
      </c>
      <c r="C5" s="1">
        <v>90</v>
      </c>
      <c r="D5" s="1">
        <v>80</v>
      </c>
      <c r="E5" s="1">
        <v>1</v>
      </c>
      <c r="F5" s="1">
        <v>20</v>
      </c>
    </row>
    <row r="6" spans="1:6" x14ac:dyDescent="0.25">
      <c r="A6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7"/>
  </sheetPr>
  <dimension ref="A1:B3"/>
  <sheetViews>
    <sheetView workbookViewId="0">
      <selection sqref="A1:B1"/>
    </sheetView>
  </sheetViews>
  <sheetFormatPr baseColWidth="10" defaultRowHeight="15" x14ac:dyDescent="0.25"/>
  <sheetData>
    <row r="1" spans="1:2" x14ac:dyDescent="0.25">
      <c r="A1" s="7" t="s">
        <v>44</v>
      </c>
      <c r="B1" s="7" t="s">
        <v>5</v>
      </c>
    </row>
    <row r="2" spans="1:2" x14ac:dyDescent="0.25">
      <c r="A2" s="1">
        <v>1</v>
      </c>
      <c r="B2" s="6">
        <v>0.1</v>
      </c>
    </row>
    <row r="3" spans="1:2" x14ac:dyDescent="0.25">
      <c r="A3" s="1">
        <v>2</v>
      </c>
      <c r="B3" s="6">
        <v>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FACTURE</vt:lpstr>
      <vt:lpstr>CLIENT</vt:lpstr>
      <vt:lpstr>STOCK</vt:lpstr>
      <vt:lpstr>TVA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hibaelhirar523@gmail.com</dc:creator>
  <cp:lastModifiedBy>jook</cp:lastModifiedBy>
  <dcterms:created xsi:type="dcterms:W3CDTF">2024-09-20T18:35:47Z</dcterms:created>
  <dcterms:modified xsi:type="dcterms:W3CDTF">2024-12-22T20:21:39Z</dcterms:modified>
</cp:coreProperties>
</file>